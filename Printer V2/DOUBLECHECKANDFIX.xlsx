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1-Members Space\Sam Munro\Extrusion Printer\Printer V2\"/>
    </mc:Choice>
  </mc:AlternateContent>
  <xr:revisionPtr revIDLastSave="0" documentId="13_ncr:1_{959EE5D7-5BC8-4DEA-ADA0-044CECEE7195}" xr6:coauthVersionLast="47" xr6:coauthVersionMax="47" xr10:uidLastSave="{00000000-0000-0000-0000-000000000000}"/>
  <bookViews>
    <workbookView xWindow="-28920" yWindow="-30" windowWidth="29040" windowHeight="15720" xr2:uid="{2090FC2F-2543-4C04-9403-2255DE56EDD9}"/>
  </bookViews>
  <sheets>
    <sheet name="Sheet1" sheetId="1" r:id="rId1"/>
    <sheet name="CALC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C14" i="2" s="1"/>
  <c r="G7" i="2"/>
  <c r="G4" i="2"/>
  <c r="G5" i="2" s="1"/>
  <c r="C5" i="2"/>
  <c r="C7" i="2" s="1"/>
  <c r="K22" i="1"/>
  <c r="D29" i="1"/>
  <c r="D28" i="1"/>
  <c r="D27" i="1"/>
</calcChain>
</file>

<file path=xl/sharedStrings.xml><?xml version="1.0" encoding="utf-8"?>
<sst xmlns="http://schemas.openxmlformats.org/spreadsheetml/2006/main" count="51" uniqueCount="40">
  <si>
    <t>QUESTIONS TO FIX DON’T FORGET</t>
  </si>
  <si>
    <t>ROUIND SHAFT MOUNTAIN HOLES SEP DIST</t>
  </si>
  <si>
    <t>NEMA MOTOR MOUNTINA HOLE SPACING</t>
  </si>
  <si>
    <t>CENTRE HOLE FOR BALL SCREW MOUNTINA</t>
  </si>
  <si>
    <t>MIUNTAIN PLATE FORWARD AND BACK DIST</t>
  </si>
  <si>
    <t>CART DEPERATION</t>
  </si>
  <si>
    <t>NEMA SIZING</t>
  </si>
  <si>
    <t>LINEAR SHAFT HOLE SIZE FOR CUTTING</t>
  </si>
  <si>
    <t>CHECKED?</t>
  </si>
  <si>
    <t>THICKNESS OF ENDPLATES</t>
  </si>
  <si>
    <t>NOTES</t>
  </si>
  <si>
    <t xml:space="preserve">CURRENTLY SIZED FOR THE MAKERSTORE PARTS </t>
  </si>
  <si>
    <t>ACTUAL BASE DIMESNIONS</t>
  </si>
  <si>
    <t>WILL BE DRIVEN BY GANTRY AND PART OVERHANGS TO HIT TARGET WORKSIZE</t>
  </si>
  <si>
    <t>z HEIGHT</t>
  </si>
  <si>
    <t>MITCH QUESTION</t>
  </si>
  <si>
    <t>TYPE AND QUAlity of linear BEARING BLOCK</t>
  </si>
  <si>
    <t>FROM ABOVE - HOLE SIZING</t>
  </si>
  <si>
    <t>YAXIS CART HOLE SIZING</t>
  </si>
  <si>
    <t>YAXIS CARTS MATCH PURCHASED UNITS</t>
  </si>
  <si>
    <t>https://kiwimotion.co.uk/technical-articles/ball-screws/ball-screw-selection/</t>
  </si>
  <si>
    <t>MOUNT FIXED END ON INSIDE OR OUTSIDE</t>
  </si>
  <si>
    <t>https://m.media-amazon.com/images/I/71zBOVmqRrL._UF1000,1000_QL80_.jpg</t>
  </si>
  <si>
    <t>SPEC MOTORS</t>
  </si>
  <si>
    <t>X MOTOR STANDOFF DISTANCE</t>
  </si>
  <si>
    <t>RPD END TINGS ARE NOT TO SPEC OF MAKERSTORE</t>
  </si>
  <si>
    <t>Limit switches</t>
  </si>
  <si>
    <t>sa</t>
  </si>
  <si>
    <t>CM2</t>
  </si>
  <si>
    <t>VOL/M</t>
  </si>
  <si>
    <t>DENSITY</t>
  </si>
  <si>
    <t>CM3</t>
  </si>
  <si>
    <t>G/CM3</t>
  </si>
  <si>
    <t>MASS/M</t>
  </si>
  <si>
    <t>G</t>
  </si>
  <si>
    <t>12MM ROD</t>
  </si>
  <si>
    <t xml:space="preserve">SA </t>
  </si>
  <si>
    <t>OUTBOARDSPACING OF Y SCREW</t>
  </si>
  <si>
    <t>STANDOFF Y AXIS FK TO ADD PLAY</t>
  </si>
  <si>
    <t>Holes in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</si>
</sst>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0</xdr:row>
      <xdr:rowOff>0</xdr:rowOff>
    </xdr:from>
    <xdr:to>
      <xdr:col>18</xdr:col>
      <xdr:colOff>77302</xdr:colOff>
      <xdr:row>38</xdr:row>
      <xdr:rowOff>105800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FDADA-CCF1-42EE-AF21-19D1D561C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3325" y="0"/>
          <a:ext cx="7897327" cy="734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DDF5-8543-4D8B-A98B-9772A14A2E34}">
  <dimension ref="A1:K29"/>
  <sheetViews>
    <sheetView tabSelected="1" workbookViewId="0">
      <selection activeCell="C15" sqref="C15"/>
    </sheetView>
  </sheetViews>
  <sheetFormatPr defaultRowHeight="15" x14ac:dyDescent="0.25"/>
  <cols>
    <col min="1" max="1" width="40.42578125" bestFit="1" customWidth="1"/>
    <col min="2" max="2" width="43.85546875" bestFit="1" customWidth="1"/>
  </cols>
  <sheetData>
    <row r="1" spans="1:3" x14ac:dyDescent="0.25">
      <c r="A1" s="1" t="s">
        <v>0</v>
      </c>
      <c r="B1" t="s">
        <v>10</v>
      </c>
      <c r="C1" t="s">
        <v>8</v>
      </c>
    </row>
    <row r="2" spans="1:3" x14ac:dyDescent="0.25">
      <c r="A2" t="s">
        <v>12</v>
      </c>
      <c r="B2" t="s">
        <v>13</v>
      </c>
    </row>
    <row r="3" spans="1:3" x14ac:dyDescent="0.25">
      <c r="A3" t="s">
        <v>1</v>
      </c>
      <c r="B3" t="s">
        <v>11</v>
      </c>
    </row>
    <row r="4" spans="1:3" x14ac:dyDescent="0.25">
      <c r="A4" t="s">
        <v>2</v>
      </c>
    </row>
    <row r="5" spans="1:3" x14ac:dyDescent="0.25">
      <c r="A5" t="s">
        <v>3</v>
      </c>
    </row>
    <row r="6" spans="1:3" x14ac:dyDescent="0.25">
      <c r="A6" t="s">
        <v>4</v>
      </c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9</v>
      </c>
    </row>
    <row r="11" spans="1:3" x14ac:dyDescent="0.25">
      <c r="A11" t="s">
        <v>14</v>
      </c>
      <c r="B11" t="s">
        <v>15</v>
      </c>
    </row>
    <row r="12" spans="1:3" x14ac:dyDescent="0.25">
      <c r="A12" t="s">
        <v>16</v>
      </c>
    </row>
    <row r="13" spans="1:3" x14ac:dyDescent="0.25">
      <c r="A13" t="s">
        <v>17</v>
      </c>
    </row>
    <row r="14" spans="1:3" x14ac:dyDescent="0.25">
      <c r="A14" t="s">
        <v>18</v>
      </c>
    </row>
    <row r="15" spans="1:3" x14ac:dyDescent="0.25">
      <c r="A15" t="s">
        <v>19</v>
      </c>
    </row>
    <row r="16" spans="1:3" x14ac:dyDescent="0.25">
      <c r="A16" t="s">
        <v>21</v>
      </c>
    </row>
    <row r="17" spans="1:11" x14ac:dyDescent="0.25">
      <c r="A17" t="s">
        <v>23</v>
      </c>
    </row>
    <row r="18" spans="1:11" x14ac:dyDescent="0.25">
      <c r="A18" t="s">
        <v>24</v>
      </c>
    </row>
    <row r="19" spans="1:11" x14ac:dyDescent="0.25">
      <c r="A19" t="s">
        <v>25</v>
      </c>
    </row>
    <row r="20" spans="1:11" x14ac:dyDescent="0.25">
      <c r="A20" t="s">
        <v>26</v>
      </c>
    </row>
    <row r="21" spans="1:11" x14ac:dyDescent="0.25">
      <c r="A21" t="s">
        <v>37</v>
      </c>
    </row>
    <row r="22" spans="1:11" x14ac:dyDescent="0.25">
      <c r="A22" t="s">
        <v>38</v>
      </c>
      <c r="K22">
        <f>39-16</f>
        <v>23</v>
      </c>
    </row>
    <row r="23" spans="1:11" x14ac:dyDescent="0.25">
      <c r="A23" t="s">
        <v>39</v>
      </c>
    </row>
    <row r="27" spans="1:11" x14ac:dyDescent="0.25">
      <c r="D27">
        <f>12*80</f>
        <v>960</v>
      </c>
    </row>
    <row r="28" spans="1:11" x14ac:dyDescent="0.25">
      <c r="A28" t="s">
        <v>20</v>
      </c>
      <c r="D28">
        <f>8*80</f>
        <v>640</v>
      </c>
    </row>
    <row r="29" spans="1:11" x14ac:dyDescent="0.25">
      <c r="A29" t="s">
        <v>22</v>
      </c>
      <c r="D29">
        <f>500-39-15-10</f>
        <v>436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FB11-8B76-4374-86B3-5A118BA75C11}">
  <dimension ref="B3:H14"/>
  <sheetViews>
    <sheetView workbookViewId="0">
      <selection activeCell="E23" sqref="E23"/>
    </sheetView>
  </sheetViews>
  <sheetFormatPr defaultRowHeight="15" x14ac:dyDescent="0.25"/>
  <sheetData>
    <row r="3" spans="2:8" x14ac:dyDescent="0.25">
      <c r="B3">
        <v>4080</v>
      </c>
      <c r="F3" t="s">
        <v>35</v>
      </c>
    </row>
    <row r="4" spans="2:8" x14ac:dyDescent="0.25">
      <c r="B4" t="s">
        <v>27</v>
      </c>
      <c r="C4" s="2">
        <v>15.332000000000001</v>
      </c>
      <c r="D4" t="s">
        <v>28</v>
      </c>
      <c r="F4" t="s">
        <v>36</v>
      </c>
      <c r="G4">
        <f>PI()*0.6^2</f>
        <v>1.1309733552923256</v>
      </c>
      <c r="H4" t="s">
        <v>28</v>
      </c>
    </row>
    <row r="5" spans="2:8" x14ac:dyDescent="0.25">
      <c r="B5" t="s">
        <v>29</v>
      </c>
      <c r="C5">
        <f>C4*100</f>
        <v>1533.2</v>
      </c>
      <c r="D5" t="s">
        <v>31</v>
      </c>
      <c r="F5" t="s">
        <v>29</v>
      </c>
      <c r="G5">
        <f>G4*100</f>
        <v>113.09733552923255</v>
      </c>
      <c r="H5" t="s">
        <v>31</v>
      </c>
    </row>
    <row r="6" spans="2:8" x14ac:dyDescent="0.25">
      <c r="B6" t="s">
        <v>30</v>
      </c>
      <c r="C6">
        <v>2.7</v>
      </c>
      <c r="D6" t="s">
        <v>32</v>
      </c>
      <c r="F6" t="s">
        <v>30</v>
      </c>
      <c r="G6">
        <v>7.8</v>
      </c>
      <c r="H6" t="s">
        <v>32</v>
      </c>
    </row>
    <row r="7" spans="2:8" x14ac:dyDescent="0.25">
      <c r="B7" t="s">
        <v>33</v>
      </c>
      <c r="C7">
        <f>C6*C5</f>
        <v>4139.6400000000003</v>
      </c>
      <c r="D7" t="s">
        <v>34</v>
      </c>
      <c r="F7" t="s">
        <v>33</v>
      </c>
      <c r="G7">
        <f>G6*G5</f>
        <v>882.15921712801389</v>
      </c>
      <c r="H7" t="s">
        <v>32</v>
      </c>
    </row>
    <row r="10" spans="2:8" x14ac:dyDescent="0.25">
      <c r="B10">
        <v>2040</v>
      </c>
    </row>
    <row r="11" spans="2:8" x14ac:dyDescent="0.25">
      <c r="B11" t="s">
        <v>27</v>
      </c>
      <c r="C11" s="2">
        <v>2.75</v>
      </c>
    </row>
    <row r="12" spans="2:8" x14ac:dyDescent="0.25">
      <c r="B12" t="s">
        <v>29</v>
      </c>
      <c r="C12">
        <f>C11*100</f>
        <v>275</v>
      </c>
    </row>
    <row r="13" spans="2:8" x14ac:dyDescent="0.25">
      <c r="B13" t="s">
        <v>30</v>
      </c>
      <c r="C13">
        <v>2.7</v>
      </c>
    </row>
    <row r="14" spans="2:8" x14ac:dyDescent="0.25">
      <c r="B14" t="s">
        <v>33</v>
      </c>
      <c r="C14">
        <f>C13*C12</f>
        <v>742.5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CALCS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composite</dc:creator>
  <cp:lastModifiedBy>composite</cp:lastModifiedBy>
  <dcterms:created xsi:type="dcterms:W3CDTF">2026-02-05T03:11:45Z</dcterms:created>
  <dcterms:modified xsi:type="dcterms:W3CDTF">2026-02-11T03:41:58Z</dcterms:modified>
</cp:coreProperties>
</file>