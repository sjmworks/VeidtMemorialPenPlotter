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01-Members Space\Sam Munro\Extrusion Printer\Printer V2\BOM\"/>
    </mc:Choice>
  </mc:AlternateContent>
  <xr:revisionPtr revIDLastSave="0" documentId="13_ncr:1_{23C9CBCA-A8CD-47D8-83EC-9138408504CE}" xr6:coauthVersionLast="47" xr6:coauthVersionMax="47" xr10:uidLastSave="{00000000-0000-0000-0000-000000000000}"/>
  <bookViews>
    <workbookView xWindow="-120" yWindow="-120" windowWidth="29040" windowHeight="15720" xr2:uid="{A3ECF389-4DA9-41DA-A1FD-EC8D3F3AD8B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8" i="1" l="1"/>
  <c r="A2" i="2"/>
  <c r="A1" i="2"/>
  <c r="F11" i="1"/>
  <c r="B6" i="1"/>
  <c r="B5" i="1"/>
  <c r="B4" i="1"/>
  <c r="F7" i="1"/>
  <c r="F8" i="1"/>
  <c r="F9" i="1"/>
  <c r="F10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30" i="1"/>
  <c r="F31" i="1"/>
  <c r="F32" i="1"/>
  <c r="F33" i="1"/>
  <c r="F34" i="1"/>
  <c r="F35" i="1"/>
  <c r="F36" i="1"/>
  <c r="F37" i="1"/>
  <c r="F38" i="1"/>
  <c r="F3" i="1"/>
  <c r="F29" i="1" l="1"/>
</calcChain>
</file>

<file path=xl/sharedStrings.xml><?xml version="1.0" encoding="utf-8"?>
<sst xmlns="http://schemas.openxmlformats.org/spreadsheetml/2006/main" count="90" uniqueCount="62">
  <si>
    <t>PART</t>
  </si>
  <si>
    <t>MATL</t>
  </si>
  <si>
    <t>SOURCE</t>
  </si>
  <si>
    <t>COST</t>
  </si>
  <si>
    <t>Dims Checked?</t>
  </si>
  <si>
    <t>NOTES</t>
  </si>
  <si>
    <t>Linear Bearing – HGH15CA</t>
  </si>
  <si>
    <t>MAKERSTORE</t>
  </si>
  <si>
    <t>QTY</t>
  </si>
  <si>
    <t>x</t>
  </si>
  <si>
    <t>COST PU</t>
  </si>
  <si>
    <t>4040 Extrusion</t>
  </si>
  <si>
    <t>4080 EXTRUSION</t>
  </si>
  <si>
    <t>URL</t>
  </si>
  <si>
    <t>https://www.makerstore.com.au/product/lr-40-8-4040-s/</t>
  </si>
  <si>
    <t>Syringe Printer Part List (sans Hardware???)</t>
  </si>
  <si>
    <t>COST IS 1M FROM MAKERSTORE (TAPPED). MANY ALT SOURCES</t>
  </si>
  <si>
    <t>https://www.makerstore.com.au/product/bear-hgh15ca/</t>
  </si>
  <si>
    <t>Linear Rail – HGR15</t>
  </si>
  <si>
    <t>COST IS 1M FROM MAKERSTORE MANY ALT SOURCES</t>
  </si>
  <si>
    <t>https://www.makerstore.com.au/product/hard-hgr-15/</t>
  </si>
  <si>
    <t>SIDE SUPPORT PLATE - MOTOR SIDE</t>
  </si>
  <si>
    <t>6MM ALY</t>
  </si>
  <si>
    <t>CUT AT UQ</t>
  </si>
  <si>
    <t>SIDE SUPPORT PLATE - FLOATING SIDE</t>
  </si>
  <si>
    <t>MAY NEED TO CHANGE Z HEIGHT HERE BASED ON OTHER COMPONENTS</t>
  </si>
  <si>
    <t>CUT AT UQ. SOURCE ACTION?</t>
  </si>
  <si>
    <t>Linear Rail Shaft Guide/SupporT – SHF12</t>
  </si>
  <si>
    <t>https://www.makerstore.com.au/product/brac-shf12/</t>
  </si>
  <si>
    <t>X</t>
  </si>
  <si>
    <t>STEPPER</t>
  </si>
  <si>
    <t>CURRENTLY NEMA 23 NEEDS TO BE SPPECCED</t>
  </si>
  <si>
    <t>?</t>
  </si>
  <si>
    <t>12mm Smooth Rod</t>
  </si>
  <si>
    <t>2X 500MM SECTIONS. WILL BE 5MM SHORT EACH SIDE BUT SHOULD BE OK. CAN SPIN THE HOLDER TO OTHER SIDE IF NECESSARY</t>
  </si>
  <si>
    <t>https://www.makerstore.com.au/product/hard-rod-12/</t>
  </si>
  <si>
    <t>FF10 Floating Ball Screw Support With Clip</t>
  </si>
  <si>
    <t>https://www.makerstore.com.au/product/tr-bs-ff10/</t>
  </si>
  <si>
    <t>FK10 Fixed Ball Screw Support With Lock Collar</t>
  </si>
  <si>
    <t>https://www.makerstore.com.au/product/tr-bs-fk10/</t>
  </si>
  <si>
    <t>https://www.makerstore.com.au/product/tr-bs-sfu1204/</t>
  </si>
  <si>
    <t>6.35mm x 8mm Flexible Coupling</t>
  </si>
  <si>
    <t>https://www.makerstore.com.au/product/hard-coup-635x8/</t>
  </si>
  <si>
    <t>Linear Bearing Block – 12mm – SCS12UU</t>
  </si>
  <si>
    <t>https://www.makerstore.com.au/product/bear-scs12uu/</t>
  </si>
  <si>
    <t>https://www.makerstore.com.au/product/tr-bs-dsg12/</t>
  </si>
  <si>
    <t>DSG12H Ball Nut Housing</t>
  </si>
  <si>
    <t>X Plate</t>
  </si>
  <si>
    <t>END PLATE FIXED SIDE</t>
  </si>
  <si>
    <t>END PLATE MOTOR SIDE</t>
  </si>
  <si>
    <t>TOOL PLATE</t>
  </si>
  <si>
    <t>ALIEXPRESS 50 AND 100MM LINEAR THINGS</t>
  </si>
  <si>
    <t>Z AXES HOLDER</t>
  </si>
  <si>
    <t>3DP</t>
  </si>
  <si>
    <t>UQ</t>
  </si>
  <si>
    <t>PLUNGER HOLDERS</t>
  </si>
  <si>
    <t>SYRINGES</t>
  </si>
  <si>
    <t>SYRINGE TIPS</t>
  </si>
  <si>
    <t>PSU</t>
  </si>
  <si>
    <t xml:space="preserve"> </t>
  </si>
  <si>
    <t>https://www.makerstore.com.au/product/brac-40s-90cast-b/</t>
  </si>
  <si>
    <t>2 Hole Corner Bracket – 40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</si>
</sst>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ECED-9A20-48A5-A73A-BB5A449432C7}">
  <dimension ref="A1:I38"/>
  <sheetViews>
    <sheetView tabSelected="1" workbookViewId="0">
      <selection activeCell="F29" sqref="F29"/>
    </sheetView>
  </sheetViews>
  <sheetFormatPr defaultRowHeight="15" x14ac:dyDescent="0.25"/>
  <cols>
    <col min="1" max="1" width="40.28515625" bestFit="1" customWidth="1"/>
    <col min="2" max="2" width="40.28515625" customWidth="1"/>
    <col min="4" max="4" width="27.140625" bestFit="1" customWidth="1"/>
    <col min="7" max="7" width="14.5703125" bestFit="1" customWidth="1"/>
    <col min="8" max="8" width="46.7109375" bestFit="1" customWidth="1"/>
  </cols>
  <sheetData>
    <row r="1" spans="1:9" ht="21" x14ac:dyDescent="0.35">
      <c r="A1" s="2" t="s">
        <v>15</v>
      </c>
    </row>
    <row r="2" spans="1:9" x14ac:dyDescent="0.25">
      <c r="A2" s="1" t="s">
        <v>0</v>
      </c>
      <c r="B2" s="1" t="s">
        <v>8</v>
      </c>
      <c r="C2" s="1" t="s">
        <v>1</v>
      </c>
      <c r="D2" s="1" t="s">
        <v>2</v>
      </c>
      <c r="E2" s="1" t="s">
        <v>10</v>
      </c>
      <c r="F2" s="1" t="s">
        <v>3</v>
      </c>
      <c r="G2" s="1" t="s">
        <v>4</v>
      </c>
      <c r="H2" s="1" t="s">
        <v>5</v>
      </c>
      <c r="I2" s="1" t="s">
        <v>13</v>
      </c>
    </row>
    <row r="3" spans="1:9" x14ac:dyDescent="0.25">
      <c r="A3" t="s">
        <v>6</v>
      </c>
      <c r="B3">
        <v>4</v>
      </c>
      <c r="D3" t="s">
        <v>7</v>
      </c>
      <c r="E3">
        <v>26.79</v>
      </c>
      <c r="F3">
        <f>B3*E3</f>
        <v>107.16</v>
      </c>
      <c r="G3" t="s">
        <v>9</v>
      </c>
      <c r="I3" t="s">
        <v>17</v>
      </c>
    </row>
    <row r="4" spans="1:9" x14ac:dyDescent="0.25">
      <c r="A4" t="s">
        <v>11</v>
      </c>
      <c r="B4">
        <f>0.3365*2</f>
        <v>0.67300000000000004</v>
      </c>
      <c r="D4" t="s">
        <v>7</v>
      </c>
      <c r="F4">
        <v>30.87</v>
      </c>
      <c r="H4" t="s">
        <v>16</v>
      </c>
      <c r="I4" t="s">
        <v>14</v>
      </c>
    </row>
    <row r="5" spans="1:9" x14ac:dyDescent="0.25">
      <c r="A5" t="s">
        <v>12</v>
      </c>
      <c r="B5">
        <f>2*0.475</f>
        <v>0.95</v>
      </c>
      <c r="D5" t="s">
        <v>7</v>
      </c>
      <c r="F5">
        <v>76.040000000000006</v>
      </c>
      <c r="H5" t="s">
        <v>16</v>
      </c>
      <c r="I5" t="s">
        <v>14</v>
      </c>
    </row>
    <row r="6" spans="1:9" x14ac:dyDescent="0.25">
      <c r="A6" t="s">
        <v>18</v>
      </c>
      <c r="B6">
        <f>2*0.469</f>
        <v>0.93799999999999994</v>
      </c>
      <c r="D6" t="s">
        <v>7</v>
      </c>
      <c r="F6">
        <v>68.09</v>
      </c>
      <c r="H6" t="s">
        <v>19</v>
      </c>
      <c r="I6" t="s">
        <v>20</v>
      </c>
    </row>
    <row r="7" spans="1:9" x14ac:dyDescent="0.25">
      <c r="A7" t="s">
        <v>21</v>
      </c>
      <c r="B7">
        <v>1</v>
      </c>
      <c r="C7" t="s">
        <v>22</v>
      </c>
      <c r="D7" t="s">
        <v>26</v>
      </c>
      <c r="F7">
        <f t="shared" ref="F4:F38" si="0">B7*E7</f>
        <v>0</v>
      </c>
      <c r="H7" t="s">
        <v>25</v>
      </c>
    </row>
    <row r="8" spans="1:9" x14ac:dyDescent="0.25">
      <c r="A8" t="s">
        <v>24</v>
      </c>
      <c r="B8">
        <v>1</v>
      </c>
      <c r="C8" t="s">
        <v>22</v>
      </c>
      <c r="D8" t="s">
        <v>23</v>
      </c>
      <c r="F8">
        <f t="shared" si="0"/>
        <v>0</v>
      </c>
    </row>
    <row r="9" spans="1:9" x14ac:dyDescent="0.25">
      <c r="A9" t="s">
        <v>27</v>
      </c>
      <c r="B9">
        <v>4</v>
      </c>
      <c r="D9" t="s">
        <v>7</v>
      </c>
      <c r="E9">
        <v>4.0999999999999996</v>
      </c>
      <c r="F9">
        <f t="shared" si="0"/>
        <v>16.399999999999999</v>
      </c>
      <c r="G9" t="s">
        <v>29</v>
      </c>
      <c r="I9" t="s">
        <v>28</v>
      </c>
    </row>
    <row r="10" spans="1:9" x14ac:dyDescent="0.25">
      <c r="A10" s="1" t="s">
        <v>30</v>
      </c>
      <c r="B10">
        <v>3</v>
      </c>
      <c r="D10" t="s">
        <v>32</v>
      </c>
      <c r="F10">
        <f t="shared" si="0"/>
        <v>0</v>
      </c>
      <c r="H10" t="s">
        <v>31</v>
      </c>
    </row>
    <row r="11" spans="1:9" x14ac:dyDescent="0.25">
      <c r="A11" t="s">
        <v>33</v>
      </c>
      <c r="B11">
        <v>1020</v>
      </c>
      <c r="D11" t="s">
        <v>7</v>
      </c>
      <c r="E11">
        <v>14.96</v>
      </c>
      <c r="F11">
        <f>E11*2</f>
        <v>29.92</v>
      </c>
      <c r="H11" t="s">
        <v>34</v>
      </c>
      <c r="I11" t="s">
        <v>35</v>
      </c>
    </row>
    <row r="12" spans="1:9" x14ac:dyDescent="0.25">
      <c r="A12" t="s">
        <v>36</v>
      </c>
      <c r="B12">
        <v>3</v>
      </c>
      <c r="D12" t="s">
        <v>7</v>
      </c>
      <c r="E12">
        <v>28.99</v>
      </c>
      <c r="F12">
        <f t="shared" si="0"/>
        <v>86.97</v>
      </c>
      <c r="G12" t="s">
        <v>9</v>
      </c>
      <c r="I12" t="s">
        <v>37</v>
      </c>
    </row>
    <row r="13" spans="1:9" x14ac:dyDescent="0.25">
      <c r="A13" t="s">
        <v>38</v>
      </c>
      <c r="B13">
        <v>3</v>
      </c>
      <c r="D13" t="s">
        <v>7</v>
      </c>
      <c r="E13">
        <v>28.99</v>
      </c>
      <c r="F13">
        <f t="shared" si="0"/>
        <v>86.97</v>
      </c>
      <c r="G13" t="s">
        <v>9</v>
      </c>
      <c r="I13" t="s">
        <v>39</v>
      </c>
    </row>
    <row r="14" spans="1:9" x14ac:dyDescent="0.25">
      <c r="A14" t="s">
        <v>59</v>
      </c>
      <c r="B14">
        <v>3</v>
      </c>
      <c r="D14" t="s">
        <v>7</v>
      </c>
      <c r="E14">
        <v>90.04</v>
      </c>
      <c r="F14">
        <f t="shared" si="0"/>
        <v>270.12</v>
      </c>
      <c r="G14" t="s">
        <v>29</v>
      </c>
      <c r="I14" t="s">
        <v>40</v>
      </c>
    </row>
    <row r="15" spans="1:9" x14ac:dyDescent="0.25">
      <c r="A15" t="s">
        <v>41</v>
      </c>
      <c r="B15">
        <v>3</v>
      </c>
      <c r="D15" t="s">
        <v>7</v>
      </c>
      <c r="E15">
        <v>10.24</v>
      </c>
      <c r="F15">
        <f t="shared" si="0"/>
        <v>30.72</v>
      </c>
      <c r="G15" t="s">
        <v>9</v>
      </c>
      <c r="I15" t="s">
        <v>42</v>
      </c>
    </row>
    <row r="16" spans="1:9" x14ac:dyDescent="0.25">
      <c r="A16" t="s">
        <v>43</v>
      </c>
      <c r="B16">
        <v>4</v>
      </c>
      <c r="D16" t="s">
        <v>7</v>
      </c>
      <c r="E16">
        <v>6.22</v>
      </c>
      <c r="F16">
        <f t="shared" si="0"/>
        <v>24.88</v>
      </c>
      <c r="G16" t="s">
        <v>29</v>
      </c>
      <c r="I16" t="s">
        <v>44</v>
      </c>
    </row>
    <row r="17" spans="1:9" x14ac:dyDescent="0.25">
      <c r="A17" t="s">
        <v>46</v>
      </c>
      <c r="B17">
        <v>1</v>
      </c>
      <c r="D17" t="s">
        <v>7</v>
      </c>
      <c r="E17">
        <v>23.63</v>
      </c>
      <c r="F17">
        <f t="shared" si="0"/>
        <v>23.63</v>
      </c>
      <c r="I17" t="s">
        <v>45</v>
      </c>
    </row>
    <row r="18" spans="1:9" x14ac:dyDescent="0.25">
      <c r="A18" t="s">
        <v>47</v>
      </c>
      <c r="C18" t="s">
        <v>22</v>
      </c>
      <c r="D18" t="s">
        <v>23</v>
      </c>
      <c r="F18">
        <f t="shared" si="0"/>
        <v>0</v>
      </c>
    </row>
    <row r="19" spans="1:9" x14ac:dyDescent="0.25">
      <c r="A19" t="s">
        <v>48</v>
      </c>
      <c r="B19">
        <v>2</v>
      </c>
      <c r="C19" t="s">
        <v>22</v>
      </c>
      <c r="D19" t="s">
        <v>23</v>
      </c>
      <c r="F19">
        <f t="shared" si="0"/>
        <v>0</v>
      </c>
    </row>
    <row r="20" spans="1:9" x14ac:dyDescent="0.25">
      <c r="A20" t="s">
        <v>49</v>
      </c>
      <c r="B20">
        <v>2</v>
      </c>
      <c r="C20" t="s">
        <v>22</v>
      </c>
      <c r="D20" t="s">
        <v>23</v>
      </c>
      <c r="F20">
        <f t="shared" si="0"/>
        <v>0</v>
      </c>
    </row>
    <row r="21" spans="1:9" x14ac:dyDescent="0.25">
      <c r="A21" t="s">
        <v>50</v>
      </c>
      <c r="C21" t="s">
        <v>32</v>
      </c>
      <c r="F21">
        <f t="shared" si="0"/>
        <v>0</v>
      </c>
    </row>
    <row r="22" spans="1:9" x14ac:dyDescent="0.25">
      <c r="A22" t="s">
        <v>51</v>
      </c>
      <c r="C22" t="s">
        <v>53</v>
      </c>
      <c r="F22">
        <f t="shared" si="0"/>
        <v>0</v>
      </c>
    </row>
    <row r="23" spans="1:9" x14ac:dyDescent="0.25">
      <c r="A23" t="s">
        <v>52</v>
      </c>
      <c r="B23">
        <v>2</v>
      </c>
      <c r="C23" t="s">
        <v>53</v>
      </c>
      <c r="D23" t="s">
        <v>54</v>
      </c>
      <c r="F23">
        <f t="shared" si="0"/>
        <v>0</v>
      </c>
    </row>
    <row r="24" spans="1:9" x14ac:dyDescent="0.25">
      <c r="A24" t="s">
        <v>55</v>
      </c>
      <c r="F24">
        <f t="shared" si="0"/>
        <v>0</v>
      </c>
    </row>
    <row r="25" spans="1:9" x14ac:dyDescent="0.25">
      <c r="A25" t="s">
        <v>56</v>
      </c>
      <c r="F25">
        <f t="shared" si="0"/>
        <v>0</v>
      </c>
    </row>
    <row r="26" spans="1:9" x14ac:dyDescent="0.25">
      <c r="A26" t="s">
        <v>57</v>
      </c>
      <c r="F26">
        <f t="shared" si="0"/>
        <v>0</v>
      </c>
    </row>
    <row r="27" spans="1:9" x14ac:dyDescent="0.25">
      <c r="A27" t="s">
        <v>58</v>
      </c>
      <c r="F27">
        <f t="shared" si="0"/>
        <v>0</v>
      </c>
    </row>
    <row r="28" spans="1:9" x14ac:dyDescent="0.25">
      <c r="A28" t="s">
        <v>61</v>
      </c>
      <c r="B28">
        <v>8</v>
      </c>
      <c r="D28" t="s">
        <v>7</v>
      </c>
      <c r="E28">
        <v>3.15</v>
      </c>
      <c r="F28">
        <f>E28*B28</f>
        <v>25.2</v>
      </c>
      <c r="I28" t="s">
        <v>60</v>
      </c>
    </row>
    <row r="29" spans="1:9" x14ac:dyDescent="0.25">
      <c r="F29">
        <f>SUM(F3:F22)</f>
        <v>851.77</v>
      </c>
    </row>
    <row r="30" spans="1:9" x14ac:dyDescent="0.25">
      <c r="F30">
        <f t="shared" si="0"/>
        <v>0</v>
      </c>
    </row>
    <row r="31" spans="1:9" x14ac:dyDescent="0.25">
      <c r="F31">
        <f t="shared" si="0"/>
        <v>0</v>
      </c>
    </row>
    <row r="32" spans="1:9" x14ac:dyDescent="0.25">
      <c r="F32">
        <f t="shared" si="0"/>
        <v>0</v>
      </c>
    </row>
    <row r="33" spans="6:6" x14ac:dyDescent="0.25">
      <c r="F33">
        <f t="shared" si="0"/>
        <v>0</v>
      </c>
    </row>
    <row r="34" spans="6:6" x14ac:dyDescent="0.25">
      <c r="F34">
        <f t="shared" si="0"/>
        <v>0</v>
      </c>
    </row>
    <row r="35" spans="6:6" x14ac:dyDescent="0.25">
      <c r="F35">
        <f t="shared" si="0"/>
        <v>0</v>
      </c>
    </row>
    <row r="36" spans="6:6" x14ac:dyDescent="0.25">
      <c r="F36">
        <f t="shared" si="0"/>
        <v>0</v>
      </c>
    </row>
    <row r="37" spans="6:6" x14ac:dyDescent="0.25">
      <c r="F37">
        <f t="shared" si="0"/>
        <v>0</v>
      </c>
    </row>
    <row r="38" spans="6:6" x14ac:dyDescent="0.25">
      <c r="F38">
        <f t="shared" si="0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25C04-CFB2-4FF4-B2A0-2F0838782153}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f>1.8/360</f>
        <v>5.0000000000000001E-3</v>
      </c>
    </row>
    <row r="2" spans="1:1" x14ac:dyDescent="0.25">
      <c r="A2">
        <f>A1*4</f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composite</dc:creator>
  <cp:lastModifiedBy>composite</cp:lastModifiedBy>
  <dcterms:created xsi:type="dcterms:W3CDTF">2026-02-09T23:55:53Z</dcterms:created>
  <dcterms:modified xsi:type="dcterms:W3CDTF">2026-02-10T07:10:11Z</dcterms:modified>
</cp:coreProperties>
</file>