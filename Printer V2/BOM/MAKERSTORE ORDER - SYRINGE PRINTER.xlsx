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01-Members Space\Sam Munro\Extrusion Printer\Printer V2\BOM\"/>
    </mc:Choice>
  </mc:AlternateContent>
  <xr:revisionPtr revIDLastSave="0" documentId="13_ncr:1_{FACB0A6D-9897-4823-99BB-F9DFFF6B5D38}" xr6:coauthVersionLast="47" xr6:coauthVersionMax="47" xr10:uidLastSave="{00000000-0000-0000-0000-000000000000}"/>
  <bookViews>
    <workbookView xWindow="-28920" yWindow="-30" windowWidth="29040" windowHeight="15720" xr2:uid="{7B517AFE-204C-4CBA-BFEA-931C8367C0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1" i="1" l="1"/>
  <c r="F17" i="1"/>
  <c r="F16" i="1"/>
  <c r="F15" i="1"/>
  <c r="F14" i="1"/>
  <c r="F13" i="1"/>
  <c r="F12" i="1"/>
  <c r="F11" i="1"/>
  <c r="F10" i="1"/>
  <c r="F9" i="1"/>
  <c r="F8" i="1"/>
  <c r="F7" i="1"/>
  <c r="F6" i="1"/>
  <c r="F2" i="1"/>
</calcChain>
</file>

<file path=xl/sharedStrings.xml><?xml version="1.0" encoding="utf-8"?>
<sst xmlns="http://schemas.openxmlformats.org/spreadsheetml/2006/main" count="44" uniqueCount="41">
  <si>
    <t>Linear Bearing – HGH15CA</t>
  </si>
  <si>
    <t>https://www.makerstore.com.au/product/bear-hgh15ca/</t>
  </si>
  <si>
    <t>COST IS 1M FROM MAKERSTORE (TAPPED). MANY ALT SOURCES</t>
  </si>
  <si>
    <t>https://www.makerstore.com.au/product/lr-40-8-4040-s/</t>
  </si>
  <si>
    <t>COST IS 1M FROM MAKERSTORE MANY ALT SOURCES</t>
  </si>
  <si>
    <t>https://www.makerstore.com.au/product/hard-hgr-15/</t>
  </si>
  <si>
    <t>Linear Rail Shaft Guide/SupporT – SHF12</t>
  </si>
  <si>
    <t>https://www.makerstore.com.au/product/brac-shf12/</t>
  </si>
  <si>
    <t>Nema 23 Stepper Motor 1.26N.m – Standard Torque – 6.35mm Shaft</t>
  </si>
  <si>
    <t>https://www.makerstore.com.au/product/elec-nema23-635-b/</t>
  </si>
  <si>
    <t>2X 500MM SECTIONS. WILL BE 5MM SHORT EACH SIDE BUT SHOULD BE OK. CAN SPIN THE HOLDER TO OTHER SIDE IF NECESSARY</t>
  </si>
  <si>
    <t>https://www.makerstore.com.au/product/hard-rod-12/</t>
  </si>
  <si>
    <t>FF10 Floating Ball Screw Support With Clip</t>
  </si>
  <si>
    <t>https://www.makerstore.com.au/product/tr-bs-ff10/</t>
  </si>
  <si>
    <t>FK10 Fixed Ball Screw Support With Lock Collar</t>
  </si>
  <si>
    <t>https://www.makerstore.com.au/product/tr-bs-fk10/</t>
  </si>
  <si>
    <t>https://www.makerstore.com.au/product/tr-bs-sfu1204/</t>
  </si>
  <si>
    <t>6.35mm x 8mm Flexible Coupling</t>
  </si>
  <si>
    <t>https://www.makerstore.com.au/product/hard-coup-635x8/</t>
  </si>
  <si>
    <t>Linear Bearing Block – 12mm – SCS12UU</t>
  </si>
  <si>
    <t>https://www.makerstore.com.au/product/bear-scs12uu/</t>
  </si>
  <si>
    <t>DSG12H Ball Nut Housing</t>
  </si>
  <si>
    <t>https://www.makerstore.com.au/product/tr-bs-dsg12/</t>
  </si>
  <si>
    <t>2 Hole Corner Bracket – 40 Series</t>
  </si>
  <si>
    <t>https://www.makerstore.com.au/product/brac-40s-90cast-b/</t>
  </si>
  <si>
    <t>need 24. add a few</t>
  </si>
  <si>
    <t>https://www.makerstore.com.au/product/hard-40s-tnut-drop-1pc/</t>
  </si>
  <si>
    <t>need 16. add a few</t>
  </si>
  <si>
    <t>ITEM</t>
  </si>
  <si>
    <t>QTY</t>
  </si>
  <si>
    <t>URL</t>
  </si>
  <si>
    <t>40 Series Drop-In T-Nuts - M5</t>
  </si>
  <si>
    <t>40 Series Drop-In T-Nuts - M4</t>
  </si>
  <si>
    <t>12mm Ball Screw – SFU1204</t>
  </si>
  <si>
    <t>12mm Smooth Rod - 500MM</t>
  </si>
  <si>
    <t>T-Slot 40 x 40mm – 40 Series – HEAVY Duty – Silver - 1000MM</t>
  </si>
  <si>
    <t>T-Slot 40 x 80mm – 40 Series – HEAVY Duty – Silver - 1000MM - BOTH ENDS TAPPED</t>
  </si>
  <si>
    <t>Linear Rail – HGR15 - 1000MM</t>
  </si>
  <si>
    <t>unit price</t>
  </si>
  <si>
    <t>price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</si>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</sst>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74934-6321-4A6E-80F6-DE527C18A378}">
  <dimension ref="A1:G31"/>
  <sheetViews>
    <sheetView tabSelected="1" workbookViewId="0">
      <selection activeCell="A32" sqref="A32"/>
    </sheetView>
  </sheetViews>
  <sheetFormatPr defaultRowHeight="15" x14ac:dyDescent="0.25"/>
  <cols>
    <col min="1" max="1" width="82.28515625" customWidth="1"/>
    <col min="4" max="4" width="65" customWidth="1"/>
    <col min="7" max="7" width="35.7109375" customWidth="1"/>
  </cols>
  <sheetData>
    <row r="1" spans="1:7" x14ac:dyDescent="0.25">
      <c r="A1" s="1" t="s">
        <v>28</v>
      </c>
      <c r="B1" s="1" t="s">
        <v>29</v>
      </c>
      <c r="C1" s="1" t="s">
        <v>30</v>
      </c>
      <c r="E1" s="1" t="s">
        <v>38</v>
      </c>
      <c r="F1" s="1" t="s">
        <v>39</v>
      </c>
      <c r="G1" s="1" t="s">
        <v>40</v>
      </c>
    </row>
    <row r="2" spans="1:7" x14ac:dyDescent="0.25">
      <c r="A2" t="s">
        <v>0</v>
      </c>
      <c r="B2">
        <v>4</v>
      </c>
      <c r="C2" t="s">
        <v>1</v>
      </c>
      <c r="E2">
        <v>26.79</v>
      </c>
      <c r="F2">
        <f>B2*E2</f>
        <v>107.16</v>
      </c>
    </row>
    <row r="3" spans="1:7" x14ac:dyDescent="0.25">
      <c r="A3" t="s">
        <v>35</v>
      </c>
      <c r="B3">
        <v>1</v>
      </c>
      <c r="C3" t="s">
        <v>3</v>
      </c>
      <c r="F3">
        <v>30.87</v>
      </c>
      <c r="G3" t="s">
        <v>2</v>
      </c>
    </row>
    <row r="4" spans="1:7" x14ac:dyDescent="0.25">
      <c r="A4" t="s">
        <v>36</v>
      </c>
      <c r="B4">
        <v>1</v>
      </c>
      <c r="C4" t="s">
        <v>3</v>
      </c>
      <c r="F4">
        <v>76.040000000000006</v>
      </c>
      <c r="G4" t="s">
        <v>2</v>
      </c>
    </row>
    <row r="5" spans="1:7" x14ac:dyDescent="0.25">
      <c r="A5" t="s">
        <v>37</v>
      </c>
      <c r="B5">
        <v>1</v>
      </c>
      <c r="C5" t="s">
        <v>5</v>
      </c>
      <c r="F5">
        <v>68.09</v>
      </c>
      <c r="G5" t="s">
        <v>4</v>
      </c>
    </row>
    <row r="6" spans="1:7" x14ac:dyDescent="0.25">
      <c r="A6" t="s">
        <v>6</v>
      </c>
      <c r="B6">
        <v>4</v>
      </c>
      <c r="C6" t="s">
        <v>7</v>
      </c>
      <c r="E6">
        <v>4.0999999999999996</v>
      </c>
      <c r="F6">
        <f t="shared" ref="F6:F14" si="0">B6*E6</f>
        <v>16.399999999999999</v>
      </c>
    </row>
    <row r="7" spans="1:7" x14ac:dyDescent="0.25">
      <c r="A7" t="s">
        <v>8</v>
      </c>
      <c r="B7">
        <v>3</v>
      </c>
      <c r="C7" t="s">
        <v>9</v>
      </c>
      <c r="E7">
        <v>41.9</v>
      </c>
      <c r="F7">
        <f t="shared" si="0"/>
        <v>125.69999999999999</v>
      </c>
    </row>
    <row r="8" spans="1:7" x14ac:dyDescent="0.25">
      <c r="A8" t="s">
        <v>34</v>
      </c>
      <c r="B8">
        <v>2</v>
      </c>
      <c r="C8" t="s">
        <v>11</v>
      </c>
      <c r="E8">
        <v>14.96</v>
      </c>
      <c r="F8">
        <f>E8*2</f>
        <v>29.92</v>
      </c>
      <c r="G8" t="s">
        <v>10</v>
      </c>
    </row>
    <row r="9" spans="1:7" x14ac:dyDescent="0.25">
      <c r="A9" t="s">
        <v>12</v>
      </c>
      <c r="B9">
        <v>3</v>
      </c>
      <c r="C9" t="s">
        <v>13</v>
      </c>
      <c r="E9">
        <v>28.99</v>
      </c>
      <c r="F9">
        <f t="shared" si="0"/>
        <v>86.97</v>
      </c>
    </row>
    <row r="10" spans="1:7" x14ac:dyDescent="0.25">
      <c r="A10" t="s">
        <v>14</v>
      </c>
      <c r="B10">
        <v>3</v>
      </c>
      <c r="C10" t="s">
        <v>15</v>
      </c>
      <c r="E10">
        <v>28.99</v>
      </c>
      <c r="F10">
        <f t="shared" si="0"/>
        <v>86.97</v>
      </c>
    </row>
    <row r="11" spans="1:7" x14ac:dyDescent="0.25">
      <c r="A11" t="s">
        <v>33</v>
      </c>
      <c r="B11">
        <v>3</v>
      </c>
      <c r="C11" t="s">
        <v>16</v>
      </c>
      <c r="E11">
        <v>90.04</v>
      </c>
      <c r="F11">
        <f t="shared" si="0"/>
        <v>270.12</v>
      </c>
    </row>
    <row r="12" spans="1:7" x14ac:dyDescent="0.25">
      <c r="A12" t="s">
        <v>17</v>
      </c>
      <c r="B12">
        <v>3</v>
      </c>
      <c r="C12" t="s">
        <v>18</v>
      </c>
      <c r="E12">
        <v>10.24</v>
      </c>
      <c r="F12">
        <f t="shared" si="0"/>
        <v>30.72</v>
      </c>
    </row>
    <row r="13" spans="1:7" x14ac:dyDescent="0.25">
      <c r="A13" t="s">
        <v>19</v>
      </c>
      <c r="B13">
        <v>4</v>
      </c>
      <c r="C13" t="s">
        <v>20</v>
      </c>
      <c r="E13">
        <v>6.22</v>
      </c>
      <c r="F13">
        <f t="shared" si="0"/>
        <v>24.88</v>
      </c>
    </row>
    <row r="14" spans="1:7" x14ac:dyDescent="0.25">
      <c r="A14" t="s">
        <v>21</v>
      </c>
      <c r="B14">
        <v>1</v>
      </c>
      <c r="C14" t="s">
        <v>22</v>
      </c>
      <c r="E14">
        <v>23.63</v>
      </c>
      <c r="F14">
        <f t="shared" si="0"/>
        <v>23.63</v>
      </c>
    </row>
    <row r="15" spans="1:7" x14ac:dyDescent="0.25">
      <c r="A15" t="s">
        <v>23</v>
      </c>
      <c r="B15">
        <v>8</v>
      </c>
      <c r="C15" t="s">
        <v>24</v>
      </c>
      <c r="E15">
        <v>3.15</v>
      </c>
      <c r="F15">
        <f>E15*B15</f>
        <v>25.2</v>
      </c>
    </row>
    <row r="16" spans="1:7" x14ac:dyDescent="0.25">
      <c r="A16" t="s">
        <v>31</v>
      </c>
      <c r="B16">
        <v>30</v>
      </c>
      <c r="C16" t="s">
        <v>26</v>
      </c>
      <c r="E16">
        <v>0.62</v>
      </c>
      <c r="F16">
        <f>E16*B16</f>
        <v>18.600000000000001</v>
      </c>
      <c r="G16" t="s">
        <v>25</v>
      </c>
    </row>
    <row r="17" spans="1:7" x14ac:dyDescent="0.25">
      <c r="A17" t="s">
        <v>32</v>
      </c>
      <c r="B17">
        <v>20</v>
      </c>
      <c r="C17" t="s">
        <v>26</v>
      </c>
      <c r="E17">
        <v>0.62</v>
      </c>
      <c r="F17">
        <f t="shared" ref="F17" si="1">E17*B17</f>
        <v>12.4</v>
      </c>
      <c r="G17" t="s">
        <v>27</v>
      </c>
    </row>
    <row r="31" spans="1:7" x14ac:dyDescent="0.25">
      <c r="A31">
        <f>10.22/50</f>
        <v>0.20440000000000003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Queensland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composite</dc:creator>
  <cp:lastModifiedBy>composite</cp:lastModifiedBy>
  <dcterms:created xsi:type="dcterms:W3CDTF">2026-02-11T05:32:21Z</dcterms:created>
  <dcterms:modified xsi:type="dcterms:W3CDTF">2026-02-20T07:23:19Z</dcterms:modified>
</cp:coreProperties>
</file>